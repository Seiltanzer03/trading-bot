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uawei\Desktop\Проект Медиа\Инфопродукт\bot\"/>
    </mc:Choice>
  </mc:AlternateContent>
  <xr:revisionPtr revIDLastSave="0" documentId="13_ncr:1_{55B39920-FAE6-41E2-8B34-79D7E6D1DE4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Wgpcmb1/DXmF6XmFUF+74aotImzZ/7c6rFRCCHLI2xc="/>
    </ext>
  </extLst>
</workbook>
</file>

<file path=xl/calcChain.xml><?xml version="1.0" encoding="utf-8"?>
<calcChain xmlns="http://schemas.openxmlformats.org/spreadsheetml/2006/main">
  <c r="L9" i="1" l="1"/>
  <c r="P9" i="1" s="1"/>
  <c r="K23" i="1"/>
  <c r="K15" i="1"/>
  <c r="K9" i="1"/>
  <c r="L23" i="1"/>
  <c r="P23" i="1" s="1"/>
  <c r="F23" i="1"/>
  <c r="AA23" i="1" s="1"/>
  <c r="L15" i="1"/>
  <c r="P15" i="1" s="1"/>
  <c r="F15" i="1"/>
  <c r="Z15" i="1" s="1"/>
  <c r="F9" i="1"/>
  <c r="J23" i="1" l="1"/>
  <c r="R9" i="1"/>
  <c r="R15" i="1"/>
  <c r="Y15" i="1"/>
  <c r="AA15" i="1"/>
  <c r="G15" i="1"/>
  <c r="J15" i="1"/>
  <c r="M15" i="1"/>
  <c r="M23" i="1"/>
  <c r="Y23" i="1"/>
  <c r="M9" i="1"/>
  <c r="Y9" i="1"/>
  <c r="Z9" i="1"/>
  <c r="G9" i="1"/>
  <c r="AA9" i="1"/>
  <c r="R23" i="1"/>
  <c r="J9" i="1"/>
  <c r="Z23" i="1"/>
  <c r="G23" i="1"/>
  <c r="T15" i="1" l="1"/>
  <c r="V15" i="1" s="1"/>
  <c r="T9" i="1"/>
  <c r="AB9" i="1" s="1"/>
  <c r="T23" i="1"/>
  <c r="AB15" i="1" l="1"/>
  <c r="U15" i="1"/>
  <c r="U9" i="1"/>
  <c r="V9" i="1"/>
  <c r="U23" i="1"/>
  <c r="V23" i="1"/>
  <c r="AB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CE0F26-38B8-42BF-BE90-BA2253DF863C}" keepAlive="1" name="Запрос — Таблица1" description="Соединение с запросом &quot;Таблица1&quot; в книге." type="5" refreshedVersion="0" background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<sst xmlns="http://schemas.openxmlformats.org/spreadsheetml/2006/main" count="175" uniqueCount="84">
  <si>
    <t>.</t>
  </si>
  <si>
    <t>вв</t>
  </si>
  <si>
    <t>R (коэффициент риска) (+2 на 1ph, +1 на 2ph, +0 на funded)</t>
  </si>
  <si>
    <t>РР</t>
  </si>
  <si>
    <t>Date</t>
  </si>
  <si>
    <t>Name</t>
  </si>
  <si>
    <t>Status acc</t>
  </si>
  <si>
    <t>Acc size</t>
  </si>
  <si>
    <t>Balance</t>
  </si>
  <si>
    <t>Balance, %</t>
  </si>
  <si>
    <t>R</t>
  </si>
  <si>
    <t>Инструмент</t>
  </si>
  <si>
    <t>Сетап, №</t>
  </si>
  <si>
    <t>W</t>
  </si>
  <si>
    <t>D</t>
  </si>
  <si>
    <t>W/(1+D)</t>
  </si>
  <si>
    <t>KR</t>
  </si>
  <si>
    <t>CF, (+0.1);(-0.1)/[0.5:1.5]</t>
  </si>
  <si>
    <t>T</t>
  </si>
  <si>
    <t>P</t>
  </si>
  <si>
    <t>1-(T/P)</t>
  </si>
  <si>
    <t>2α/(α+β)</t>
  </si>
  <si>
    <t>S, %</t>
  </si>
  <si>
    <t>S, $</t>
  </si>
  <si>
    <t>Кол-во входов</t>
  </si>
  <si>
    <t>День цикла</t>
  </si>
  <si>
    <t>ATR Факт</t>
  </si>
  <si>
    <t>k-буффер</t>
  </si>
  <si>
    <t>k-цикла</t>
  </si>
  <si>
    <t>Правило фиксации</t>
  </si>
  <si>
    <t>Кол-во сделок до выхода из просадки (RECOVERY -режим восстановления)</t>
  </si>
  <si>
    <t>Прибыль от предыдущей сделки, $</t>
  </si>
  <si>
    <t>&gt;107%</t>
  </si>
  <si>
    <t>1.5</t>
  </si>
  <si>
    <t>1.25</t>
  </si>
  <si>
    <t>105-107%</t>
  </si>
  <si>
    <t>1.75</t>
  </si>
  <si>
    <t>Pips</t>
  </si>
  <si>
    <t>NAS100</t>
  </si>
  <si>
    <t>102-105%</t>
  </si>
  <si>
    <t>2</t>
  </si>
  <si>
    <t>100-102%</t>
  </si>
  <si>
    <t>2.2</t>
  </si>
  <si>
    <t>97-100%</t>
  </si>
  <si>
    <t>95-97%</t>
  </si>
  <si>
    <t>ATR 1D Факт</t>
  </si>
  <si>
    <t>93-95%</t>
  </si>
  <si>
    <t>&lt;93%</t>
  </si>
  <si>
    <t>SP500</t>
  </si>
  <si>
    <t>FTMO</t>
  </si>
  <si>
    <t>2ph</t>
  </si>
  <si>
    <t>US30</t>
  </si>
  <si>
    <t>GER40</t>
  </si>
  <si>
    <t>UK100</t>
  </si>
  <si>
    <t>XAU</t>
  </si>
  <si>
    <t>1 — Норма.
0,5 — Фиолетовый: Шок, забираем RR 0.6 от базы.
1,2 —Зеленый: Импульс, работаем в полную силу.
0,7 —Красный: Флэт, срезаем RR на 20%.</t>
  </si>
  <si>
    <t>XAG</t>
  </si>
  <si>
    <t>EURUSD</t>
  </si>
  <si>
    <t>1ph</t>
  </si>
  <si>
    <t>//@version=5
indicator("Market Phase Filter (ATR Ratio)", overlay=true)
len_fast = 5 
len_slow = 20 
atr_fast = ta.atr(len_fast)
atr_slow = ta.atr(len_slow)
ratio = atr_fast / atr_slow
// Условия для фильтра
is_shock   = ratio &gt; 1.5    // Фиолетовый (0.5)
is_impulse = ratio &gt; 1.15   // Зеленый (1.2)
is_flat    = ratio &lt; 0.85   // Красный (0.7)
// Логика цвета
bg_color = is_shock ? color.new(color.purple, 60) : is_impulse ? color.new(color.green, 80) : is_flat ? color.new(color.red, 80) : na
bgcolor(bg_color)
// Визуальные метки для проверки
plotshape(is_shock, title="SHOCK 0.5", location=location.top, color=color.purple, style=shape.labeldown, text="SHOCK")</t>
  </si>
  <si>
    <t xml:space="preserve">Определяется собствевнным индикатором (создать в trading view):  
</t>
  </si>
  <si>
    <t>ATR 1D/ 1h (recovery) Факт</t>
  </si>
  <si>
    <t>USDCAD</t>
  </si>
  <si>
    <t>JP225</t>
  </si>
  <si>
    <t>fund</t>
  </si>
  <si>
    <t>ячейки для ручного заполнения показаны серым цветом</t>
  </si>
  <si>
    <t>ATR Факт [1,2; 1; 0,7; 0,5]</t>
  </si>
  <si>
    <t>(+0,1 при закрытии сделки в +/ сброс до 1 при прерывании серии прибыли)</t>
  </si>
  <si>
    <t>Вспомогательные коэфф</t>
  </si>
  <si>
    <t xml:space="preserve">Коэфф эффективности сетапа, пересчитывается при каждой прибыли или убытке из рассчета α=(α+1) при прибыли, β=(β+1) при убытке. </t>
  </si>
  <si>
    <t>Оптимизирует процесс получения подушки из прибыли</t>
  </si>
  <si>
    <t>Итоговый риск за сделку</t>
  </si>
  <si>
    <t>Эквивалент риска  в долларах</t>
  </si>
  <si>
    <t>Разбитие основного объема позиции на несколько входов</t>
  </si>
  <si>
    <t>(оставить 1, если не funded prop)</t>
  </si>
  <si>
    <t xml:space="preserve">Расчет ATR, подробнее нижние таблицы </t>
  </si>
  <si>
    <t xml:space="preserve">День цикла </t>
  </si>
  <si>
    <t>Период частичной фиксации прибыли (обычно по 10%)</t>
  </si>
  <si>
    <t>Прогноз необходимого кол-ва сделок для выхода из просадки</t>
  </si>
  <si>
    <t>Винрейт сетапа (можно подставить свой)</t>
  </si>
  <si>
    <t>Риск-ревард сделки</t>
  </si>
  <si>
    <t>Вспомогательный коэфф</t>
  </si>
  <si>
    <t>Вспомогательный коэфф (стадия челленджа)</t>
  </si>
  <si>
    <t>(0,1 при закрытии сделки в + / -0,1 при убытке) - коэфф. ментального капитала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</si>
</sst>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\.m"/>
    <numFmt numFmtId="166" formatCode="d\-m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3"/>
      <color rgb="FF0070C0"/>
      <name val="Calibri"/>
    </font>
    <font>
      <sz val="13"/>
      <color rgb="FF000000"/>
      <name val="Calibri"/>
    </font>
    <font>
      <b/>
      <u/>
      <sz val="12"/>
      <color theme="1"/>
      <name val="Roboto"/>
    </font>
    <font>
      <b/>
      <sz val="11"/>
      <color theme="1"/>
      <name val="Calibri"/>
    </font>
    <font>
      <sz val="10"/>
      <color theme="1"/>
      <name val="Calibri"/>
    </font>
    <font>
      <b/>
      <u/>
      <sz val="12"/>
      <color rgb="FF000000"/>
      <name val="Roboto"/>
    </font>
    <font>
      <b/>
      <u/>
      <sz val="12"/>
      <color rgb="FF000000"/>
      <name val="Roboto"/>
    </font>
    <font>
      <b/>
      <sz val="12"/>
      <color theme="1"/>
      <name val="Arial"/>
    </font>
    <font>
      <sz val="11"/>
      <name val="Calibri"/>
    </font>
    <font>
      <sz val="13"/>
      <color theme="1"/>
      <name val="Calibri"/>
    </font>
    <font>
      <b/>
      <u/>
      <sz val="12"/>
      <color rgb="FF000000"/>
      <name val="Roboto"/>
    </font>
    <font>
      <b/>
      <u/>
      <sz val="12"/>
      <color rgb="FF000000"/>
      <name val="Roboto"/>
    </font>
    <font>
      <sz val="11"/>
      <color theme="1"/>
      <name val="Calibri"/>
      <scheme val="minor"/>
    </font>
    <font>
      <sz val="11"/>
      <color theme="1"/>
      <name val="Calibri"/>
      <family val="2"/>
      <charset val="204"/>
    </font>
    <font>
      <sz val="13"/>
      <name val="Calibri"/>
      <family val="2"/>
      <charset val="204"/>
    </font>
    <font>
      <sz val="13"/>
      <color rgb="FF0070C0"/>
      <name val="Calibri"/>
      <family val="2"/>
      <charset val="204"/>
    </font>
    <font>
      <sz val="13"/>
      <color theme="1"/>
      <name val="Calibri"/>
      <family val="2"/>
      <charset val="204"/>
    </font>
    <font>
      <sz val="13"/>
      <color rgb="FF000000"/>
      <name val="Calibri"/>
      <family val="2"/>
      <charset val="204"/>
    </font>
    <font>
      <sz val="9"/>
      <color theme="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rgb="FFCCCC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 wrapText="1"/>
    </xf>
    <xf numFmtId="49" fontId="10" fillId="0" borderId="1" xfId="0" applyNumberFormat="1" applyFont="1" applyBorder="1" applyAlignment="1">
      <alignment horizontal="left" wrapText="1"/>
    </xf>
    <xf numFmtId="0" fontId="11" fillId="0" borderId="0" xfId="0" applyFont="1" applyAlignment="1">
      <alignment horizontal="right"/>
    </xf>
    <xf numFmtId="0" fontId="13" fillId="0" borderId="8" xfId="0" applyFont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164" fontId="13" fillId="0" borderId="8" xfId="0" applyNumberFormat="1" applyFont="1" applyBorder="1" applyAlignment="1">
      <alignment horizontal="left" vertical="center" wrapText="1"/>
    </xf>
    <xf numFmtId="2" fontId="5" fillId="0" borderId="8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vertical="top" wrapText="1"/>
    </xf>
    <xf numFmtId="0" fontId="3" fillId="0" borderId="8" xfId="0" applyFont="1" applyBorder="1"/>
    <xf numFmtId="0" fontId="3" fillId="0" borderId="10" xfId="0" applyFont="1" applyBorder="1"/>
    <xf numFmtId="0" fontId="13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/>
    <xf numFmtId="165" fontId="14" fillId="0" borderId="1" xfId="0" applyNumberFormat="1" applyFont="1" applyBorder="1" applyAlignment="1">
      <alignment horizontal="left" wrapText="1"/>
    </xf>
    <xf numFmtId="0" fontId="11" fillId="0" borderId="0" xfId="0" applyFont="1"/>
    <xf numFmtId="166" fontId="11" fillId="0" borderId="0" xfId="0" applyNumberFormat="1" applyFont="1" applyAlignment="1">
      <alignment horizontal="right"/>
    </xf>
    <xf numFmtId="0" fontId="15" fillId="0" borderId="1" xfId="0" applyFont="1" applyBorder="1" applyAlignment="1">
      <alignment horizontal="left"/>
    </xf>
    <xf numFmtId="0" fontId="3" fillId="3" borderId="10" xfId="0" applyFont="1" applyFill="1" applyBorder="1"/>
    <xf numFmtId="0" fontId="3" fillId="0" borderId="1" xfId="0" applyFont="1" applyBorder="1"/>
    <xf numFmtId="0" fontId="13" fillId="0" borderId="8" xfId="0" applyFont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right"/>
    </xf>
    <xf numFmtId="0" fontId="12" fillId="0" borderId="13" xfId="0" applyFont="1" applyBorder="1" applyAlignment="1"/>
    <xf numFmtId="0" fontId="11" fillId="0" borderId="0" xfId="0" applyFont="1" applyAlignment="1"/>
    <xf numFmtId="0" fontId="11" fillId="0" borderId="12" xfId="0" applyFont="1" applyFill="1" applyBorder="1" applyAlignment="1"/>
    <xf numFmtId="0" fontId="11" fillId="0" borderId="11" xfId="0" applyFont="1" applyFill="1" applyBorder="1" applyAlignment="1">
      <alignment horizontal="right"/>
    </xf>
    <xf numFmtId="0" fontId="11" fillId="0" borderId="0" xfId="0" applyFont="1" applyAlignment="1">
      <alignment wrapText="1"/>
    </xf>
    <xf numFmtId="0" fontId="0" fillId="0" borderId="0" xfId="0" applyFont="1" applyFill="1" applyAlignment="1"/>
    <xf numFmtId="0" fontId="8" fillId="0" borderId="13" xfId="0" applyFont="1" applyFill="1" applyBorder="1" applyAlignment="1">
      <alignment horizontal="center" vertical="top" wrapText="1"/>
    </xf>
    <xf numFmtId="0" fontId="12" fillId="0" borderId="13" xfId="0" applyFont="1" applyFill="1" applyBorder="1"/>
    <xf numFmtId="0" fontId="3" fillId="0" borderId="13" xfId="0" applyFont="1" applyFill="1" applyBorder="1" applyAlignment="1"/>
    <xf numFmtId="0" fontId="3" fillId="0" borderId="13" xfId="0" applyFont="1" applyFill="1" applyBorder="1"/>
    <xf numFmtId="0" fontId="0" fillId="0" borderId="13" xfId="0" applyFont="1" applyBorder="1" applyAlignment="1"/>
    <xf numFmtId="0" fontId="3" fillId="6" borderId="10" xfId="0" applyFont="1" applyFill="1" applyBorder="1" applyAlignment="1"/>
    <xf numFmtId="0" fontId="3" fillId="6" borderId="8" xfId="0" applyFont="1" applyFill="1" applyBorder="1"/>
    <xf numFmtId="0" fontId="0" fillId="0" borderId="14" xfId="0" applyFill="1" applyBorder="1" applyAlignment="1">
      <alignment wrapText="1"/>
    </xf>
    <xf numFmtId="0" fontId="3" fillId="0" borderId="25" xfId="0" applyFont="1" applyBorder="1"/>
    <xf numFmtId="0" fontId="3" fillId="8" borderId="1" xfId="0" applyFont="1" applyFill="1" applyBorder="1"/>
    <xf numFmtId="0" fontId="2" fillId="0" borderId="26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12" fillId="0" borderId="5" xfId="0" applyFont="1" applyBorder="1"/>
    <xf numFmtId="0" fontId="4" fillId="0" borderId="2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top" wrapText="1"/>
    </xf>
    <xf numFmtId="0" fontId="8" fillId="6" borderId="7" xfId="0" applyFont="1" applyFill="1" applyBorder="1" applyAlignment="1">
      <alignment horizontal="center" vertical="top" wrapText="1"/>
    </xf>
    <xf numFmtId="0" fontId="12" fillId="7" borderId="5" xfId="0" applyFont="1" applyFill="1" applyBorder="1"/>
    <xf numFmtId="0" fontId="5" fillId="0" borderId="7" xfId="0" applyFont="1" applyBorder="1" applyAlignment="1">
      <alignment vertical="center" wrapText="1"/>
    </xf>
    <xf numFmtId="0" fontId="19" fillId="2" borderId="7" xfId="0" applyFont="1" applyFill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12" fillId="0" borderId="6" xfId="0" applyFont="1" applyBorder="1"/>
    <xf numFmtId="0" fontId="3" fillId="3" borderId="7" xfId="0" applyFont="1" applyFill="1" applyBorder="1" applyAlignment="1">
      <alignment horizontal="center" vertical="top" wrapText="1"/>
    </xf>
    <xf numFmtId="0" fontId="12" fillId="0" borderId="7" xfId="0" applyFont="1" applyBorder="1"/>
    <xf numFmtId="0" fontId="3" fillId="3" borderId="13" xfId="0" applyFont="1" applyFill="1" applyBorder="1" applyAlignment="1">
      <alignment horizontal="center" vertical="top"/>
    </xf>
    <xf numFmtId="0" fontId="0" fillId="0" borderId="0" xfId="0" applyFont="1" applyAlignment="1"/>
    <xf numFmtId="0" fontId="3" fillId="0" borderId="7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0" fillId="0" borderId="0" xfId="0" applyFont="1" applyAlignment="1">
      <alignment wrapText="1"/>
    </xf>
    <xf numFmtId="0" fontId="3" fillId="0" borderId="2" xfId="0" applyFont="1" applyBorder="1" applyAlignment="1">
      <alignment horizontal="center" vertical="top"/>
    </xf>
    <xf numFmtId="0" fontId="17" fillId="3" borderId="2" xfId="0" applyFont="1" applyFill="1" applyBorder="1" applyAlignment="1">
      <alignment horizontal="center" vertical="top" wrapText="1"/>
    </xf>
    <xf numFmtId="0" fontId="0" fillId="5" borderId="13" xfId="0" applyFont="1" applyFill="1" applyBorder="1" applyAlignment="1">
      <alignment horizontal="center" vertical="top" wrapText="1"/>
    </xf>
    <xf numFmtId="0" fontId="16" fillId="0" borderId="15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9" xfId="0" applyFont="1" applyBorder="1" applyAlignment="1">
      <alignment horizontal="center" wrapText="1"/>
    </xf>
    <xf numFmtId="0" fontId="16" fillId="0" borderId="20" xfId="0" applyFont="1" applyBorder="1" applyAlignment="1">
      <alignment horizontal="center" wrapText="1"/>
    </xf>
    <xf numFmtId="0" fontId="16" fillId="0" borderId="2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0" fontId="17" fillId="0" borderId="23" xfId="0" applyFont="1" applyBorder="1" applyAlignment="1">
      <alignment horizontal="center" vertical="top" wrapText="1"/>
    </xf>
    <xf numFmtId="0" fontId="17" fillId="0" borderId="24" xfId="0" applyFont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top" wrapText="1"/>
    </xf>
    <xf numFmtId="0" fontId="17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top" wrapText="1"/>
    </xf>
    <xf numFmtId="0" fontId="0" fillId="0" borderId="24" xfId="0" applyFont="1" applyBorder="1" applyAlignment="1">
      <alignment horizontal="center" vertical="top" wrapText="1"/>
    </xf>
    <xf numFmtId="0" fontId="18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top" wrapText="1"/>
    </xf>
    <xf numFmtId="0" fontId="20" fillId="0" borderId="24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89"/>
  <sheetViews>
    <sheetView tabSelected="1" zoomScale="55" zoomScaleNormal="55" workbookViewId="0">
      <selection activeCell="Q4" sqref="Q4"/>
    </sheetView>
  </sheetViews>
  <sheetFormatPr defaultColWidth="14.44140625" defaultRowHeight="15" customHeight="1" x14ac:dyDescent="0.3"/>
  <cols>
    <col min="1" max="1" width="15" customWidth="1"/>
    <col min="2" max="4" width="8.6640625" customWidth="1"/>
    <col min="5" max="5" width="9.109375" customWidth="1"/>
    <col min="6" max="6" width="8.6640625" customWidth="1"/>
    <col min="7" max="8" width="14.33203125" customWidth="1"/>
    <col min="9" max="12" width="8.6640625" customWidth="1"/>
    <col min="13" max="13" width="16.6640625" customWidth="1"/>
    <col min="14" max="14" width="17.109375" customWidth="1"/>
    <col min="15" max="15" width="15.6640625" customWidth="1"/>
    <col min="16" max="17" width="8.6640625" customWidth="1"/>
    <col min="18" max="18" width="10.6640625" bestFit="1" customWidth="1"/>
    <col min="19" max="19" width="8.6640625" customWidth="1"/>
    <col min="20" max="21" width="10.6640625" bestFit="1" customWidth="1"/>
    <col min="22" max="22" width="8.6640625" customWidth="1"/>
    <col min="23" max="23" width="12.33203125" customWidth="1"/>
    <col min="24" max="24" width="9.44140625" customWidth="1"/>
    <col min="25" max="25" width="8.6640625" customWidth="1"/>
    <col min="26" max="26" width="7.88671875" customWidth="1"/>
    <col min="27" max="27" width="27.33203125" customWidth="1"/>
    <col min="28" max="28" width="16.5546875" customWidth="1"/>
    <col min="29" max="30" width="25.77734375" customWidth="1"/>
    <col min="31" max="31" width="14.109375" customWidth="1"/>
    <col min="32" max="32" width="15.33203125" customWidth="1"/>
    <col min="33" max="33" width="11.33203125" customWidth="1"/>
  </cols>
  <sheetData>
    <row r="1" spans="1:33" ht="14.25" customHeight="1" x14ac:dyDescent="0.3">
      <c r="A1" s="1" t="s">
        <v>0</v>
      </c>
    </row>
    <row r="2" spans="1:33" ht="14.25" customHeight="1" x14ac:dyDescent="0.3"/>
    <row r="3" spans="1:33" ht="14.25" customHeight="1" x14ac:dyDescent="0.3"/>
    <row r="4" spans="1:33" ht="72" customHeight="1" thickBot="1" x14ac:dyDescent="0.35">
      <c r="B4" s="72" t="s">
        <v>65</v>
      </c>
      <c r="C4" s="72"/>
    </row>
    <row r="5" spans="1:33" ht="21.75" customHeight="1" x14ac:dyDescent="0.3">
      <c r="C5" s="1"/>
      <c r="D5" s="1"/>
      <c r="E5" s="1"/>
      <c r="F5" s="1"/>
      <c r="G5" s="90" t="s">
        <v>82</v>
      </c>
      <c r="H5" s="1"/>
      <c r="I5" s="1"/>
      <c r="J5" s="82" t="s">
        <v>80</v>
      </c>
      <c r="K5" s="82" t="s">
        <v>79</v>
      </c>
      <c r="L5" s="85" t="s">
        <v>68</v>
      </c>
      <c r="M5" s="86"/>
      <c r="N5" s="94" t="s">
        <v>67</v>
      </c>
      <c r="O5" s="96" t="s">
        <v>83</v>
      </c>
      <c r="P5" s="98" t="s">
        <v>68</v>
      </c>
      <c r="Q5" s="99"/>
      <c r="R5" s="100"/>
      <c r="S5" s="104" t="s">
        <v>69</v>
      </c>
      <c r="T5" s="82" t="s">
        <v>71</v>
      </c>
      <c r="U5" s="82" t="s">
        <v>72</v>
      </c>
      <c r="V5" s="82" t="s">
        <v>73</v>
      </c>
      <c r="W5" s="82" t="s">
        <v>74</v>
      </c>
      <c r="X5" s="82" t="s">
        <v>75</v>
      </c>
      <c r="Y5" s="82" t="s">
        <v>70</v>
      </c>
      <c r="Z5" s="90" t="s">
        <v>81</v>
      </c>
      <c r="AA5" s="82" t="s">
        <v>77</v>
      </c>
      <c r="AB5" s="82" t="s">
        <v>78</v>
      </c>
      <c r="AC5" s="92"/>
    </row>
    <row r="6" spans="1:33" ht="105" customHeight="1" thickBot="1" x14ac:dyDescent="0.35">
      <c r="C6" s="1"/>
      <c r="D6" s="2"/>
      <c r="E6" s="2"/>
      <c r="F6" s="2"/>
      <c r="G6" s="91"/>
      <c r="H6" s="2"/>
      <c r="I6" s="2"/>
      <c r="J6" s="89"/>
      <c r="K6" s="89"/>
      <c r="L6" s="87"/>
      <c r="M6" s="88"/>
      <c r="N6" s="95"/>
      <c r="O6" s="97"/>
      <c r="P6" s="101"/>
      <c r="Q6" s="102"/>
      <c r="R6" s="103"/>
      <c r="S6" s="91"/>
      <c r="T6" s="89"/>
      <c r="U6" s="89"/>
      <c r="V6" s="89"/>
      <c r="W6" s="89"/>
      <c r="X6" s="89"/>
      <c r="Y6" s="89"/>
      <c r="Z6" s="91"/>
      <c r="AA6" s="89"/>
      <c r="AB6" s="89"/>
      <c r="AC6" s="93"/>
      <c r="AD6" s="32"/>
      <c r="AE6" s="3" t="s">
        <v>1</v>
      </c>
      <c r="AF6" s="3" t="s">
        <v>2</v>
      </c>
      <c r="AG6" s="3" t="s">
        <v>3</v>
      </c>
    </row>
    <row r="7" spans="1:33" ht="27" customHeight="1" x14ac:dyDescent="0.3">
      <c r="A7" s="4" t="s">
        <v>4</v>
      </c>
      <c r="B7" s="47" t="s">
        <v>5</v>
      </c>
      <c r="C7" s="47" t="s">
        <v>6</v>
      </c>
      <c r="D7" s="47" t="s">
        <v>7</v>
      </c>
      <c r="E7" s="48" t="s">
        <v>8</v>
      </c>
      <c r="F7" s="49" t="s">
        <v>9</v>
      </c>
      <c r="G7" s="50" t="s">
        <v>10</v>
      </c>
      <c r="H7" s="45" t="s">
        <v>11</v>
      </c>
      <c r="I7" s="45" t="s">
        <v>12</v>
      </c>
      <c r="J7" s="54" t="s">
        <v>3</v>
      </c>
      <c r="K7" s="54" t="s">
        <v>13</v>
      </c>
      <c r="L7" s="54" t="s">
        <v>14</v>
      </c>
      <c r="M7" s="54" t="s">
        <v>15</v>
      </c>
      <c r="N7" s="55" t="s">
        <v>16</v>
      </c>
      <c r="O7" s="84" t="s">
        <v>17</v>
      </c>
      <c r="P7" s="54" t="s">
        <v>18</v>
      </c>
      <c r="Q7" s="54" t="s">
        <v>19</v>
      </c>
      <c r="R7" s="54" t="s">
        <v>20</v>
      </c>
      <c r="S7" s="55" t="s">
        <v>21</v>
      </c>
      <c r="T7" s="54" t="s">
        <v>22</v>
      </c>
      <c r="U7" s="54" t="s">
        <v>23</v>
      </c>
      <c r="V7" s="56" t="s">
        <v>24</v>
      </c>
      <c r="W7" s="58" t="s">
        <v>25</v>
      </c>
      <c r="X7" s="60" t="s">
        <v>26</v>
      </c>
      <c r="Y7" s="62" t="s">
        <v>27</v>
      </c>
      <c r="Z7" s="70" t="s">
        <v>28</v>
      </c>
      <c r="AA7" s="62" t="s">
        <v>29</v>
      </c>
      <c r="AB7" s="51" t="s">
        <v>30</v>
      </c>
      <c r="AC7" s="52" t="s">
        <v>31</v>
      </c>
      <c r="AD7" s="33"/>
      <c r="AE7" s="5" t="s">
        <v>32</v>
      </c>
      <c r="AF7" s="6" t="s">
        <v>33</v>
      </c>
      <c r="AG7" s="5" t="s">
        <v>34</v>
      </c>
    </row>
    <row r="8" spans="1:33" ht="54.6" customHeight="1" thickBot="1" x14ac:dyDescent="0.35">
      <c r="A8" s="28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57"/>
      <c r="W8" s="59"/>
      <c r="X8" s="61"/>
      <c r="Y8" s="46"/>
      <c r="Z8" s="46"/>
      <c r="AA8" s="46"/>
      <c r="AB8" s="46"/>
      <c r="AC8" s="53"/>
      <c r="AD8" s="34"/>
      <c r="AE8" s="5" t="s">
        <v>35</v>
      </c>
      <c r="AF8" s="6" t="s">
        <v>36</v>
      </c>
      <c r="AG8" s="6" t="s">
        <v>33</v>
      </c>
    </row>
    <row r="9" spans="1:33" ht="14.25" customHeight="1" thickBot="1" x14ac:dyDescent="0.35">
      <c r="B9" s="8" t="s">
        <v>37</v>
      </c>
      <c r="C9" s="9" t="s">
        <v>58</v>
      </c>
      <c r="D9" s="8">
        <v>50000</v>
      </c>
      <c r="E9" s="10">
        <v>45500</v>
      </c>
      <c r="F9" s="8">
        <f>E9/D9*100</f>
        <v>91</v>
      </c>
      <c r="G9" s="8">
        <f>IF(
F9&lt;93,
1.25,
(
IF(F9&gt;107,1.5,
IF(F9&gt;=105,1.75,
IF(F9&gt;=102,2,
IF(F9&gt;=100,2.2,
IF(F9&gt;=97,2,
IF(F9&gt;=95,1.75,
1.5
)))))))
)
+
IF(C9="1ph",2,
IF(C9="2ph",1,
0
)
)</f>
        <v>3.25</v>
      </c>
      <c r="H9" s="16" t="s">
        <v>38</v>
      </c>
      <c r="I9" s="10">
        <v>16</v>
      </c>
      <c r="J9" s="8">
        <f>(IF(F9&gt;107, 1.25, IF(F9&gt;=105, 1.5, IF(F9&gt;=102, 2, IF(F9&gt;=100, 1.75, IF(F9&gt;=97, 1.5, IF(F9&gt;=95, 2.2, IF(F9&gt;=93, 2.5, 3)))))))) * IF(X9=0.5, 0.6, IF(X9=0.7, 0.8, IF(X9=1.2, 1.2, 1)))</f>
        <v>3</v>
      </c>
      <c r="K9" s="24">
        <f>IF(I9=1,0.85,IF(I9=2,0.87,IF(I9=3,0.68,IF(I9=4,0.71,IF(I9=5,0.72,IF(I9=6,0.87,IF(I9=7,0.7,IF(I9=8,0.7,IF(I9=9,0.81,IF(I9=10,0.59,IF(I9=11,0.77,IF(I9=12,0.71,IF(I9=13,0.85,IF(I9=14,0.72,IF(I9=15,0.71,IF(I9=16,0.82,""))))))))))))))))</f>
        <v>0.82</v>
      </c>
      <c r="L9" s="11">
        <f>IF(E9 &gt; D9,
     0,
     (1 - E9 / D9) * 10
)</f>
        <v>0.89999999999999969</v>
      </c>
      <c r="M9" s="11">
        <f>K9/(1+L9)</f>
        <v>0.43157894736842112</v>
      </c>
      <c r="N9" s="10">
        <v>1</v>
      </c>
      <c r="O9" s="10">
        <v>0.5</v>
      </c>
      <c r="P9" s="11">
        <f>L9*10</f>
        <v>8.9999999999999964</v>
      </c>
      <c r="Q9" s="8">
        <v>10</v>
      </c>
      <c r="R9" s="11">
        <f>IF(F9&gt;96, 1-(P9/Q9), SQRT(1-(P9/Q9)) )</f>
        <v>0.31622776601683844</v>
      </c>
      <c r="S9" s="10">
        <v>1.129</v>
      </c>
      <c r="T9" s="11">
        <f>MIN(2.9, (G9*M9*N9*O9*R9*S9*Y9*Z9*X9) + IF(AC9&gt;0, (AC9 * 0.4) / E9 * 100, 0))</f>
        <v>0.30046148178157051</v>
      </c>
      <c r="U9" s="12">
        <f>D9*T9/100</f>
        <v>150.23074089078526</v>
      </c>
      <c r="V9" s="13">
        <f>IF(T9&lt;=0.8,1, 2)</f>
        <v>1</v>
      </c>
      <c r="W9" s="10">
        <v>1</v>
      </c>
      <c r="X9" s="10">
        <v>1</v>
      </c>
      <c r="Y9" s="14">
        <f>IF(F9&lt;97, 1.2, IF(F9&lt;=100.5, 0.6, 1))</f>
        <v>1.2</v>
      </c>
      <c r="Z9" s="14">
        <f>IF(F9&lt;93, 1, IF(W9&lt;=5, IF(F9&gt;102, 1.2, 1), IF(W9&lt;=10, IF(F9&lt;100, 1.1, 0.5), IF(W9&lt;=13, IF(F9&lt;97, 1.2, IF(F9&lt;100, 1.5, IF(F9&gt;102, 0.1, 0.5))), IF(F9&lt;100, 1, 0)))))</f>
        <v>1</v>
      </c>
      <c r="AA9" s="14" t="str">
        <f>IF(F9&lt;94, "Шаг 0,5 RR (1.0 -&gt; 1.5 -&gt; 2.0)", "Шаг 0,25 RR (1.0 -&gt; 1.25 -&gt; 1.5)")</f>
        <v>Шаг 0,5 RR (1.0 -&gt; 1.5 -&gt; 2.0)</v>
      </c>
      <c r="AB9" s="15" t="str">
        <f>IF(F9&gt;=100, "DONE", IF(F9&lt;98, "RECOVERY: ", "") &amp; ROUNDUP(LN(100/F9) / MAX(0.00001, (K9 * LN(1 + (T9/100 * J9 * 0.82))) + ((1-K9) * LN(1 - (T9/100 * 1.05)))), 1))</f>
        <v>RECOVERY: 17,3</v>
      </c>
      <c r="AC9" s="38">
        <v>0</v>
      </c>
      <c r="AD9" s="35"/>
      <c r="AE9" s="5" t="s">
        <v>39</v>
      </c>
      <c r="AF9" s="6" t="s">
        <v>40</v>
      </c>
      <c r="AG9" s="5">
        <v>2</v>
      </c>
    </row>
    <row r="10" spans="1:33" ht="14.25" customHeight="1" thickBot="1" x14ac:dyDescent="0.35">
      <c r="A10" s="7"/>
      <c r="B10" s="8"/>
      <c r="C10" s="9"/>
      <c r="D10" s="8"/>
      <c r="E10" s="16"/>
      <c r="F10" s="8"/>
      <c r="G10" s="8"/>
      <c r="H10" s="16" t="s">
        <v>38</v>
      </c>
      <c r="I10" s="16"/>
      <c r="J10" s="8"/>
      <c r="K10" s="8"/>
      <c r="L10" s="11"/>
      <c r="M10" s="11"/>
      <c r="N10" s="16"/>
      <c r="O10" s="16"/>
      <c r="P10" s="11"/>
      <c r="Q10" s="8"/>
      <c r="R10" s="11"/>
      <c r="S10" s="16"/>
      <c r="T10" s="11"/>
      <c r="U10" s="12"/>
      <c r="V10" s="13"/>
      <c r="W10" s="16"/>
      <c r="X10" s="16"/>
      <c r="Y10" s="14"/>
      <c r="Z10" s="14"/>
      <c r="AA10" s="14"/>
      <c r="AB10" s="14"/>
      <c r="AC10" s="39"/>
      <c r="AD10" s="36"/>
      <c r="AE10" s="5" t="s">
        <v>41</v>
      </c>
      <c r="AF10" s="6" t="s">
        <v>42</v>
      </c>
      <c r="AG10" s="5" t="s">
        <v>36</v>
      </c>
    </row>
    <row r="11" spans="1:33" ht="17.399999999999999" x14ac:dyDescent="0.3">
      <c r="A11" s="7"/>
      <c r="B11" s="8"/>
      <c r="C11" s="9"/>
      <c r="D11" s="8"/>
      <c r="E11" s="16"/>
      <c r="F11" s="8"/>
      <c r="G11" s="8"/>
      <c r="H11" s="16" t="s">
        <v>38</v>
      </c>
      <c r="I11" s="16"/>
      <c r="J11" s="8"/>
      <c r="K11" s="8"/>
      <c r="L11" s="11"/>
      <c r="M11" s="11"/>
      <c r="N11" s="16"/>
      <c r="O11" s="16"/>
      <c r="P11" s="11"/>
      <c r="Q11" s="8"/>
      <c r="R11" s="11"/>
      <c r="S11" s="16"/>
      <c r="T11" s="11"/>
      <c r="U11" s="12"/>
      <c r="V11" s="13"/>
      <c r="W11" s="16"/>
      <c r="X11" s="16"/>
      <c r="Y11" s="14"/>
      <c r="Z11" s="14"/>
      <c r="AA11" s="14"/>
      <c r="AB11" s="14"/>
      <c r="AC11" s="39"/>
      <c r="AD11" s="36"/>
      <c r="AE11" s="5" t="s">
        <v>43</v>
      </c>
      <c r="AF11" s="6" t="s">
        <v>40</v>
      </c>
      <c r="AG11" s="18">
        <v>45778</v>
      </c>
    </row>
    <row r="12" spans="1:33" ht="14.25" customHeight="1" x14ac:dyDescent="0.3">
      <c r="A12" s="7"/>
      <c r="AD12" s="32"/>
      <c r="AE12" s="5" t="s">
        <v>44</v>
      </c>
      <c r="AF12" s="6" t="s">
        <v>36</v>
      </c>
      <c r="AG12" s="18">
        <v>45690</v>
      </c>
    </row>
    <row r="13" spans="1:33" ht="15" customHeight="1" x14ac:dyDescent="0.3">
      <c r="A13" s="19"/>
      <c r="B13" s="47" t="s">
        <v>5</v>
      </c>
      <c r="C13" s="47" t="s">
        <v>6</v>
      </c>
      <c r="D13" s="47" t="s">
        <v>7</v>
      </c>
      <c r="E13" s="48" t="s">
        <v>8</v>
      </c>
      <c r="F13" s="49" t="s">
        <v>9</v>
      </c>
      <c r="G13" s="47" t="s">
        <v>10</v>
      </c>
      <c r="H13" s="45" t="s">
        <v>11</v>
      </c>
      <c r="I13" s="45" t="s">
        <v>12</v>
      </c>
      <c r="J13" s="49" t="s">
        <v>3</v>
      </c>
      <c r="K13" s="49" t="s">
        <v>13</v>
      </c>
      <c r="L13" s="49" t="s">
        <v>14</v>
      </c>
      <c r="M13" s="49" t="s">
        <v>15</v>
      </c>
      <c r="N13" s="48" t="s">
        <v>16</v>
      </c>
      <c r="O13" s="45" t="s">
        <v>17</v>
      </c>
      <c r="P13" s="49" t="s">
        <v>18</v>
      </c>
      <c r="Q13" s="49" t="s">
        <v>19</v>
      </c>
      <c r="R13" s="49" t="s">
        <v>20</v>
      </c>
      <c r="S13" s="48" t="s">
        <v>21</v>
      </c>
      <c r="T13" s="49" t="s">
        <v>22</v>
      </c>
      <c r="U13" s="49" t="s">
        <v>23</v>
      </c>
      <c r="V13" s="65" t="s">
        <v>24</v>
      </c>
      <c r="W13" s="66" t="s">
        <v>25</v>
      </c>
      <c r="X13" s="67" t="s">
        <v>45</v>
      </c>
      <c r="Y13" s="68" t="s">
        <v>27</v>
      </c>
      <c r="Z13" s="68" t="s">
        <v>28</v>
      </c>
      <c r="AA13" s="70" t="s">
        <v>29</v>
      </c>
      <c r="AB13" s="63" t="s">
        <v>30</v>
      </c>
      <c r="AC13" s="64" t="s">
        <v>31</v>
      </c>
      <c r="AD13" s="33"/>
      <c r="AE13" s="5" t="s">
        <v>46</v>
      </c>
      <c r="AF13" s="6" t="s">
        <v>33</v>
      </c>
      <c r="AG13" s="18">
        <v>45779</v>
      </c>
    </row>
    <row r="14" spans="1:33" ht="54" customHeight="1" thickBot="1" x14ac:dyDescent="0.35">
      <c r="A14" s="20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57"/>
      <c r="W14" s="59"/>
      <c r="X14" s="61"/>
      <c r="Y14" s="46"/>
      <c r="Z14" s="46"/>
      <c r="AA14" s="46"/>
      <c r="AB14" s="46"/>
      <c r="AC14" s="46"/>
      <c r="AD14" s="34"/>
      <c r="AE14" s="5" t="s">
        <v>47</v>
      </c>
      <c r="AF14" s="21">
        <v>1.25</v>
      </c>
      <c r="AG14" s="21">
        <v>3</v>
      </c>
    </row>
    <row r="15" spans="1:33" ht="18" thickBot="1" x14ac:dyDescent="0.35">
      <c r="A15" s="30"/>
      <c r="B15" s="8" t="s">
        <v>37</v>
      </c>
      <c r="C15" s="25" t="s">
        <v>64</v>
      </c>
      <c r="D15" s="8">
        <v>50000</v>
      </c>
      <c r="E15" s="10">
        <v>50000</v>
      </c>
      <c r="F15" s="8">
        <f>E15/D15*100</f>
        <v>100</v>
      </c>
      <c r="G15" s="8">
        <f>IF(
F15&lt;93,
1.25,
(
IF(F15&gt;107,1.5,
IF(F15&gt;=105,1.75,
IF(F15&gt;=102,2,
IF(F15&gt;=100,2.2,
IF(F15&gt;=97,2,
IF(F15&gt;=95,1.75,
1.5
)))))))
)
+
IF(C15="1ph",2,
IF(C15="2ph",1,
0
)
)</f>
        <v>2.2000000000000002</v>
      </c>
      <c r="H15" s="16" t="s">
        <v>57</v>
      </c>
      <c r="I15" s="10">
        <v>14</v>
      </c>
      <c r="J15" s="8">
        <f>(IF(F15&gt;107, 1.25, IF(F15&gt;=105, 1.5, IF(F15&gt;=102, 2, IF(F15&gt;=100, 1.75, IF(F15&gt;=97, 1.5, IF(F15&gt;=95, 2.2, IF(F15&gt;=93, 2.5, 3)))))))) * IF(X15=0.5, 0.6, IF(X15=0.7, 0.8, IF(X15=1.2, 1.2, 1)))</f>
        <v>2.1</v>
      </c>
      <c r="K15" s="24">
        <f>IF(I15=1,0.85,IF(I15=2,0.87,IF(I15=3,0.68,IF(I15=4,0.71,IF(I15=5,0.72,IF(I15=6,0.87,IF(I15=7,0.7,IF(I15=8,0.7,IF(I15=9,0.81,IF(I15=10,0.59,IF(I15=11,0.77,IF(I15=12,0.71,IF(I15=13,0.85,IF(I15=14,0.72,IF(I15=15,0.71,IF(I15=16,0.82,""))))))))))))))))</f>
        <v>0.72</v>
      </c>
      <c r="L15" s="11">
        <f>IF(E15 &gt; D15,
     0,
     (1 - E15 / D15) * 10
)</f>
        <v>0</v>
      </c>
      <c r="M15" s="11">
        <f>K15/(1+L15)</f>
        <v>0.72</v>
      </c>
      <c r="N15" s="10">
        <v>1.1000000000000001</v>
      </c>
      <c r="O15" s="10">
        <v>0.7</v>
      </c>
      <c r="P15" s="11">
        <f>L15*10</f>
        <v>0</v>
      </c>
      <c r="Q15" s="8">
        <v>10</v>
      </c>
      <c r="R15" s="11">
        <f>IF(F15&gt;96, 1-(P15/Q15), SQRT(1-(P15/Q15)) )</f>
        <v>1</v>
      </c>
      <c r="S15" s="10">
        <v>1</v>
      </c>
      <c r="T15" s="11">
        <f>MIN(2.9, (G15*M15*N15*O15*R15*S15*Y15*Z15*X15) + IF(AC15&gt;0, (AC15 * 0.4) / E15 * 100, 0))</f>
        <v>0.57508479999999995</v>
      </c>
      <c r="U15" s="12">
        <f>D15*T15/100</f>
        <v>287.54239999999999</v>
      </c>
      <c r="V15" s="13">
        <f>IF(T15&lt;=0.8,1, 2)</f>
        <v>1</v>
      </c>
      <c r="W15" s="10">
        <v>13</v>
      </c>
      <c r="X15" s="10">
        <v>1.2</v>
      </c>
      <c r="Y15" s="14">
        <f>IF(F15&lt;97, 1.2, IF(F15&lt;=100.5, 0.6, 1))</f>
        <v>0.6</v>
      </c>
      <c r="Z15" s="14">
        <f>IF(F15&lt;93, 1, IF(W15&lt;=5, IF(F15&gt;102, 1.2, 1), IF(W15&lt;=10, IF(F15&lt;100, 1.1, 0.5), IF(W15&lt;=13, IF(F15&lt;97, 1.2, IF(F15&lt;100, 1.5, IF(F15&gt;102, 0.1, 0.5))), IF(F15&lt;100, 1, 0)))))</f>
        <v>0.5</v>
      </c>
      <c r="AA15" s="14" t="str">
        <f>IF(F15&lt;94, "Шаг 0,5 RR (1.0 -&gt; 1.5 -&gt; 2.0)", "Шаг 0,25 RR (1.0 -&gt; 1.25 -&gt; 1.5)")</f>
        <v>Шаг 0,25 RR (1.0 -&gt; 1.25 -&gt; 1.5)</v>
      </c>
      <c r="AB15" s="15" t="str">
        <f>IF(F15&gt;=100, "DONE", IF(F15&lt;98, "RECOVERY: ", "") &amp; ROUNDUP(LN(100/F15) / MAX(0.00001, (K15 * LN(1 + (T15/100 * J15 * 0.82))) + ((1-K15) * LN(1 - (T15/100 * 1.05)))), 1))</f>
        <v>DONE</v>
      </c>
      <c r="AC15" s="22">
        <v>170</v>
      </c>
      <c r="AD15" s="36"/>
    </row>
    <row r="16" spans="1:33" ht="18" thickBot="1" x14ac:dyDescent="0.35">
      <c r="A16" s="7"/>
      <c r="B16" s="8"/>
      <c r="C16" s="9"/>
      <c r="D16" s="8"/>
      <c r="E16" s="10"/>
      <c r="F16" s="8"/>
      <c r="G16" s="8"/>
      <c r="H16" s="16" t="s">
        <v>38</v>
      </c>
      <c r="I16" s="10"/>
      <c r="J16" s="8"/>
      <c r="K16" s="8"/>
      <c r="L16" s="11"/>
      <c r="M16" s="11"/>
      <c r="N16" s="10"/>
      <c r="O16" s="10"/>
      <c r="P16" s="11"/>
      <c r="Q16" s="8"/>
      <c r="R16" s="11"/>
      <c r="S16" s="10"/>
      <c r="T16" s="11"/>
      <c r="U16" s="12"/>
      <c r="V16" s="13"/>
      <c r="W16" s="10"/>
      <c r="X16" s="10"/>
      <c r="Y16" s="14"/>
      <c r="Z16" s="14"/>
      <c r="AA16" s="14"/>
      <c r="AB16" s="14"/>
      <c r="AC16" s="17"/>
      <c r="AD16" s="36"/>
    </row>
    <row r="17" spans="1:33" ht="14.25" customHeight="1" x14ac:dyDescent="0.3">
      <c r="A17" s="7"/>
      <c r="B17" s="8"/>
      <c r="C17" s="9"/>
      <c r="D17" s="8"/>
      <c r="E17" s="10"/>
      <c r="F17" s="8"/>
      <c r="G17" s="8"/>
      <c r="H17" s="16" t="s">
        <v>38</v>
      </c>
      <c r="I17" s="10"/>
      <c r="J17" s="8"/>
      <c r="K17" s="8"/>
      <c r="L17" s="11"/>
      <c r="M17" s="11"/>
      <c r="N17" s="10"/>
      <c r="O17" s="10"/>
      <c r="P17" s="11"/>
      <c r="Q17" s="8"/>
      <c r="R17" s="11"/>
      <c r="S17" s="10"/>
      <c r="T17" s="11"/>
      <c r="U17" s="12"/>
      <c r="V17" s="13"/>
      <c r="W17" s="10"/>
      <c r="X17" s="10"/>
      <c r="Y17" s="14"/>
      <c r="Z17" s="14"/>
      <c r="AA17" s="14"/>
      <c r="AB17" s="14"/>
      <c r="AC17" s="17"/>
      <c r="AD17" s="36"/>
      <c r="AE17" s="23"/>
      <c r="AF17" s="23"/>
      <c r="AG17" s="23"/>
    </row>
    <row r="18" spans="1:33" ht="14.25" customHeight="1" x14ac:dyDescent="0.3">
      <c r="A18" s="7"/>
      <c r="B18" s="8"/>
      <c r="C18" s="9"/>
      <c r="D18" s="8"/>
      <c r="E18" s="10"/>
      <c r="F18" s="8"/>
      <c r="G18" s="8"/>
      <c r="H18" s="16" t="s">
        <v>38</v>
      </c>
      <c r="I18" s="10"/>
      <c r="J18" s="8"/>
      <c r="K18" s="8"/>
      <c r="L18" s="11"/>
      <c r="M18" s="11"/>
      <c r="N18" s="10"/>
      <c r="O18" s="10"/>
      <c r="P18" s="11"/>
      <c r="Q18" s="8"/>
      <c r="R18" s="11"/>
      <c r="S18" s="10"/>
      <c r="T18" s="11"/>
      <c r="U18" s="12"/>
      <c r="V18" s="13"/>
      <c r="W18" s="10"/>
      <c r="X18" s="10"/>
      <c r="Y18" s="14"/>
      <c r="Z18" s="14"/>
      <c r="AA18" s="14"/>
      <c r="AB18" s="14"/>
      <c r="AC18" s="17"/>
      <c r="AD18" s="36"/>
      <c r="AE18" s="23"/>
      <c r="AF18" s="23"/>
      <c r="AG18" s="23"/>
    </row>
    <row r="19" spans="1:33" ht="14.25" customHeight="1" x14ac:dyDescent="0.3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AD19" s="32"/>
      <c r="AE19" s="23">
        <v>1</v>
      </c>
      <c r="AF19" s="23" t="s">
        <v>38</v>
      </c>
      <c r="AG19" s="23">
        <v>0.85</v>
      </c>
    </row>
    <row r="20" spans="1:33" ht="14.25" customHeight="1" x14ac:dyDescent="0.3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AD20" s="32"/>
      <c r="AE20" s="23">
        <v>2</v>
      </c>
      <c r="AF20" s="23" t="s">
        <v>38</v>
      </c>
      <c r="AG20" s="23">
        <v>0.87</v>
      </c>
    </row>
    <row r="21" spans="1:33" ht="14.4" customHeight="1" x14ac:dyDescent="0.3">
      <c r="A21" s="29"/>
      <c r="B21" s="47" t="s">
        <v>5</v>
      </c>
      <c r="C21" s="47" t="s">
        <v>6</v>
      </c>
      <c r="D21" s="47" t="s">
        <v>7</v>
      </c>
      <c r="E21" s="48" t="s">
        <v>8</v>
      </c>
      <c r="F21" s="49" t="s">
        <v>9</v>
      </c>
      <c r="G21" s="47" t="s">
        <v>10</v>
      </c>
      <c r="H21" s="45" t="s">
        <v>11</v>
      </c>
      <c r="I21" s="45" t="s">
        <v>12</v>
      </c>
      <c r="J21" s="49" t="s">
        <v>3</v>
      </c>
      <c r="K21" s="49" t="s">
        <v>13</v>
      </c>
      <c r="L21" s="49" t="s">
        <v>14</v>
      </c>
      <c r="M21" s="49" t="s">
        <v>15</v>
      </c>
      <c r="N21" s="48" t="s">
        <v>16</v>
      </c>
      <c r="O21" s="45" t="s">
        <v>17</v>
      </c>
      <c r="P21" s="49" t="s">
        <v>18</v>
      </c>
      <c r="Q21" s="49" t="s">
        <v>19</v>
      </c>
      <c r="R21" s="49" t="s">
        <v>20</v>
      </c>
      <c r="S21" s="48" t="s">
        <v>21</v>
      </c>
      <c r="T21" s="49" t="s">
        <v>22</v>
      </c>
      <c r="U21" s="49" t="s">
        <v>23</v>
      </c>
      <c r="V21" s="65" t="s">
        <v>24</v>
      </c>
      <c r="W21" s="71" t="s">
        <v>76</v>
      </c>
      <c r="X21" s="67" t="s">
        <v>66</v>
      </c>
      <c r="Y21" s="70" t="s">
        <v>27</v>
      </c>
      <c r="Z21" s="70" t="s">
        <v>28</v>
      </c>
      <c r="AA21" s="70" t="s">
        <v>29</v>
      </c>
      <c r="AB21" s="63" t="s">
        <v>30</v>
      </c>
      <c r="AC21" s="64" t="s">
        <v>31</v>
      </c>
      <c r="AD21" s="33"/>
      <c r="AE21" s="23">
        <v>3</v>
      </c>
      <c r="AF21" s="23" t="s">
        <v>38</v>
      </c>
      <c r="AG21" s="23">
        <v>0.68</v>
      </c>
    </row>
    <row r="22" spans="1:33" ht="66" customHeight="1" thickBot="1" x14ac:dyDescent="0.35">
      <c r="A22" s="27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57"/>
      <c r="W22" s="59"/>
      <c r="X22" s="69"/>
      <c r="Y22" s="46"/>
      <c r="Z22" s="46"/>
      <c r="AA22" s="46"/>
      <c r="AB22" s="46"/>
      <c r="AC22" s="46"/>
      <c r="AD22" s="34"/>
      <c r="AE22" s="23">
        <v>4</v>
      </c>
      <c r="AF22" s="23" t="s">
        <v>48</v>
      </c>
      <c r="AG22" s="23">
        <v>0.71</v>
      </c>
    </row>
    <row r="23" spans="1:33" ht="18" thickBot="1" x14ac:dyDescent="0.35">
      <c r="A23" s="31"/>
      <c r="B23" s="24" t="s">
        <v>49</v>
      </c>
      <c r="C23" s="25" t="s">
        <v>50</v>
      </c>
      <c r="D23" s="24">
        <v>100000</v>
      </c>
      <c r="E23" s="10">
        <v>100000</v>
      </c>
      <c r="F23" s="8">
        <f>E23/D23*100</f>
        <v>100</v>
      </c>
      <c r="G23" s="8">
        <f>IF(
F23&lt;93,
1.25,
(
IF(F23&gt;107,1.5,
IF(F23&gt;=105,1.75,
IF(F23&gt;=102,2,
IF(F23&gt;=100,2.2,
IF(F23&gt;=97,2,
IF(F23&gt;=95,1.75,
1.5
)))))))
)
+
IF(C23="1ph",2,
IF(C23="2ph",1,
0
)
)</f>
        <v>3.2</v>
      </c>
      <c r="H23" s="16" t="s">
        <v>38</v>
      </c>
      <c r="I23" s="10">
        <v>1</v>
      </c>
      <c r="J23" s="8">
        <f>(IF(F23&gt;107, 1.25, IF(F23&gt;=105, 1.5, IF(F23&gt;=102, 2, IF(F23&gt;=100, 1.75, IF(F23&gt;=97, 1.5, IF(F23&gt;=95, 2.2, IF(F23&gt;=93, 2.5, 3)))))))) * IF(X23=0.5, 0.6, IF(X23=0.7, 0.8, IF(X23=1.2, 1.2, 1)))</f>
        <v>2.1</v>
      </c>
      <c r="K23" s="24">
        <f>IF(I23=1,0.85,IF(I23=2,0.87,IF(I23=3,0.68,IF(I23=4,0.71,IF(I23=5,0.72,IF(I23=6,0.87,IF(I23=7,0.7,IF(I23=8,0.7,IF(I23=9,0.81,IF(I23=10,0.59,IF(I23=11,0.77,IF(I23=12,0.71,IF(I23=13,0.85,IF(I23=14,0.72,IF(I23=15,0.71,IF(I23=16,0.82,""))))))))))))))))</f>
        <v>0.85</v>
      </c>
      <c r="L23" s="11">
        <f>IF(E23 &gt; D23,
     0,
     (1 - E23 / D23) * 10
)</f>
        <v>0</v>
      </c>
      <c r="M23" s="11">
        <f>K23/(1+L23)</f>
        <v>0.85</v>
      </c>
      <c r="N23" s="10">
        <v>1</v>
      </c>
      <c r="O23" s="10">
        <v>0.5</v>
      </c>
      <c r="P23" s="11">
        <f>L23*10</f>
        <v>0</v>
      </c>
      <c r="Q23" s="8">
        <v>10</v>
      </c>
      <c r="R23" s="11">
        <f>IF(F23&gt;96, 1-(P23/Q23), SQRT(1-(P23/Q23)) )</f>
        <v>1</v>
      </c>
      <c r="S23" s="10">
        <v>1.129</v>
      </c>
      <c r="T23" s="11">
        <f>MIN(2.9, (G23*M23*N23*O23*R23*S23*Y23*Z23*X23) + IF(AC23&gt;0, (AC23 * 0.4) / E23 * 100, 0))</f>
        <v>1.1055168</v>
      </c>
      <c r="U23" s="12">
        <f>D23*T23/100</f>
        <v>1105.5167999999999</v>
      </c>
      <c r="V23" s="13">
        <f>IF(T23&lt;=0.8,1, 2)</f>
        <v>2</v>
      </c>
      <c r="W23" s="10">
        <v>1</v>
      </c>
      <c r="X23" s="10">
        <v>1.2</v>
      </c>
      <c r="Y23" s="14">
        <f>IF(F23&lt;97, 1.2, IF(F23&lt;=100.5, 0.6, 1))</f>
        <v>0.6</v>
      </c>
      <c r="Z23" s="14">
        <f>IF(F23&lt;93, 1, IF(W23&lt;=5, IF(F23&gt;102, 1.2, 1), IF(W23&lt;=10, IF(F23&lt;100, 1.1, 0.5), IF(W23&lt;=13, IF(F23&lt;97, 1.2, IF(F23&lt;100, 1.5, IF(F23&gt;102, 0.1, 0.5))), IF(F23&lt;100, 1, 0)))))</f>
        <v>1</v>
      </c>
      <c r="AA23" s="14" t="str">
        <f>IF(F23&lt;94, "Шаг 0,5 RR (1.0 -&gt; 1.5 -&gt; 2.0)", "Шаг 0,25 RR (1.0 -&gt; 1.25 -&gt; 1.5)")</f>
        <v>Шаг 0,25 RR (1.0 -&gt; 1.25 -&gt; 1.5)</v>
      </c>
      <c r="AB23" s="15" t="str">
        <f>IF(F23&gt;=100, "DONE", IF(F23&lt;98, "RECOVERY: ", "") &amp; ROUNDUP(LN(100/F23) / MAX(0.00001, (K23 * LN(1 + (T23/100 * J23 * 0.82))) + ((1-K23) * LN(1 - (T23/100 * 1.05)))), 1))</f>
        <v>DONE</v>
      </c>
      <c r="AC23" s="22"/>
      <c r="AD23" s="36"/>
      <c r="AE23" s="23">
        <v>5</v>
      </c>
      <c r="AF23" s="23" t="s">
        <v>48</v>
      </c>
      <c r="AG23" s="23">
        <v>0.72</v>
      </c>
    </row>
    <row r="24" spans="1:33" ht="17.399999999999999" x14ac:dyDescent="0.3">
      <c r="B24" s="8"/>
      <c r="C24" s="9"/>
      <c r="D24" s="24"/>
      <c r="E24" s="10"/>
      <c r="F24" s="8"/>
      <c r="G24" s="8"/>
      <c r="H24" s="16" t="s">
        <v>38</v>
      </c>
      <c r="I24" s="10"/>
      <c r="J24" s="8"/>
      <c r="K24" s="24"/>
      <c r="L24" s="11"/>
      <c r="M24" s="11"/>
      <c r="N24" s="10"/>
      <c r="O24" s="10"/>
      <c r="P24" s="11"/>
      <c r="Q24" s="8"/>
      <c r="R24" s="11"/>
      <c r="S24" s="10"/>
      <c r="T24" s="11"/>
      <c r="U24" s="12"/>
      <c r="V24" s="13"/>
      <c r="W24" s="10"/>
      <c r="X24" s="10"/>
      <c r="Y24" s="14"/>
      <c r="Z24" s="14"/>
      <c r="AA24" s="14"/>
      <c r="AB24" s="14"/>
      <c r="AC24" s="17"/>
      <c r="AD24" s="36"/>
      <c r="AE24" s="23">
        <v>6</v>
      </c>
      <c r="AF24" s="23" t="s">
        <v>51</v>
      </c>
      <c r="AG24" s="23">
        <v>0.87</v>
      </c>
    </row>
    <row r="25" spans="1:33" ht="27.75" customHeight="1" x14ac:dyDescent="0.3">
      <c r="B25" s="8"/>
      <c r="C25" s="9"/>
      <c r="D25" s="24"/>
      <c r="E25" s="10"/>
      <c r="F25" s="8"/>
      <c r="G25" s="8"/>
      <c r="H25" s="16" t="s">
        <v>38</v>
      </c>
      <c r="I25" s="10"/>
      <c r="J25" s="8"/>
      <c r="K25" s="24"/>
      <c r="L25" s="11"/>
      <c r="M25" s="11"/>
      <c r="N25" s="10"/>
      <c r="O25" s="10"/>
      <c r="P25" s="11"/>
      <c r="Q25" s="8"/>
      <c r="R25" s="11"/>
      <c r="S25" s="10"/>
      <c r="T25" s="11"/>
      <c r="U25" s="12"/>
      <c r="V25" s="13"/>
      <c r="W25" s="10"/>
      <c r="X25" s="10"/>
      <c r="Y25" s="14"/>
      <c r="Z25" s="14"/>
      <c r="AA25" s="14"/>
      <c r="AB25" s="14"/>
      <c r="AC25" s="17"/>
      <c r="AD25" s="36"/>
      <c r="AE25" s="23">
        <v>7</v>
      </c>
      <c r="AF25" s="23" t="s">
        <v>52</v>
      </c>
      <c r="AG25" s="23">
        <v>0.63</v>
      </c>
    </row>
    <row r="26" spans="1:33" ht="17.399999999999999" x14ac:dyDescent="0.3">
      <c r="A26" s="7"/>
      <c r="B26" s="8"/>
      <c r="C26" s="9"/>
      <c r="D26" s="24"/>
      <c r="E26" s="10"/>
      <c r="F26" s="8"/>
      <c r="G26" s="8"/>
      <c r="H26" s="16" t="s">
        <v>38</v>
      </c>
      <c r="I26" s="10"/>
      <c r="J26" s="8"/>
      <c r="K26" s="24"/>
      <c r="L26" s="11"/>
      <c r="M26" s="11"/>
      <c r="N26" s="10"/>
      <c r="O26" s="10"/>
      <c r="P26" s="11"/>
      <c r="Q26" s="8"/>
      <c r="R26" s="11"/>
      <c r="S26" s="10"/>
      <c r="T26" s="11"/>
      <c r="U26" s="12"/>
      <c r="V26" s="13"/>
      <c r="W26" s="10"/>
      <c r="X26" s="10"/>
      <c r="Y26" s="14"/>
      <c r="Z26" s="14"/>
      <c r="AA26" s="14"/>
      <c r="AB26" s="14"/>
      <c r="AC26" s="17"/>
      <c r="AD26" s="36"/>
      <c r="AE26" s="26">
        <v>7</v>
      </c>
      <c r="AF26" s="23" t="s">
        <v>52</v>
      </c>
      <c r="AG26" s="26">
        <v>0.7</v>
      </c>
    </row>
    <row r="27" spans="1:33" ht="14.25" customHeight="1" x14ac:dyDescent="0.3">
      <c r="A27" s="7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AD27" s="32"/>
      <c r="AE27" s="23">
        <v>9</v>
      </c>
      <c r="AF27" s="23" t="s">
        <v>53</v>
      </c>
      <c r="AG27" s="23">
        <v>0.81</v>
      </c>
    </row>
    <row r="28" spans="1:33" ht="14.25" customHeight="1" x14ac:dyDescent="0.3">
      <c r="AE28" s="23">
        <v>10</v>
      </c>
      <c r="AF28" s="23" t="s">
        <v>63</v>
      </c>
      <c r="AG28" s="23">
        <v>0.59</v>
      </c>
    </row>
    <row r="29" spans="1:33" ht="25.5" customHeight="1" x14ac:dyDescent="0.3">
      <c r="AE29" s="23">
        <v>11</v>
      </c>
      <c r="AF29" s="23" t="s">
        <v>54</v>
      </c>
      <c r="AG29" s="23">
        <v>0.77</v>
      </c>
    </row>
    <row r="30" spans="1:33" ht="14.25" customHeight="1" thickBot="1" x14ac:dyDescent="0.35">
      <c r="AE30" s="23">
        <v>12</v>
      </c>
      <c r="AF30" s="23" t="s">
        <v>54</v>
      </c>
      <c r="AG30" s="23">
        <v>0.71</v>
      </c>
    </row>
    <row r="31" spans="1:33" ht="14.4" customHeight="1" thickBot="1" x14ac:dyDescent="0.35">
      <c r="A31" s="82" t="s">
        <v>61</v>
      </c>
      <c r="B31" s="73" t="s">
        <v>55</v>
      </c>
      <c r="C31" s="74"/>
      <c r="D31" s="74"/>
      <c r="E31" s="75"/>
      <c r="G31" s="44" t="s">
        <v>60</v>
      </c>
      <c r="AE31" s="23">
        <v>13</v>
      </c>
      <c r="AF31" s="23" t="s">
        <v>56</v>
      </c>
      <c r="AG31" s="23">
        <v>0.85</v>
      </c>
    </row>
    <row r="32" spans="1:33" ht="43.5" customHeight="1" thickBot="1" x14ac:dyDescent="0.35">
      <c r="A32" s="83"/>
      <c r="B32" s="76"/>
      <c r="C32" s="77"/>
      <c r="D32" s="77"/>
      <c r="E32" s="78"/>
      <c r="G32" s="40" t="s">
        <v>59</v>
      </c>
      <c r="AE32" s="23">
        <v>14</v>
      </c>
      <c r="AF32" s="23" t="s">
        <v>57</v>
      </c>
      <c r="AG32" s="23">
        <v>0.72</v>
      </c>
    </row>
    <row r="33" spans="1:33" ht="14.25" customHeight="1" x14ac:dyDescent="0.3">
      <c r="A33" s="37"/>
      <c r="B33" s="76"/>
      <c r="C33" s="77"/>
      <c r="D33" s="77"/>
      <c r="E33" s="78"/>
      <c r="AE33" s="23">
        <v>15</v>
      </c>
      <c r="AF33" s="23" t="s">
        <v>57</v>
      </c>
      <c r="AG33" s="23">
        <v>0.71</v>
      </c>
    </row>
    <row r="34" spans="1:33" ht="14.25" customHeight="1" x14ac:dyDescent="0.3">
      <c r="A34" s="37"/>
      <c r="B34" s="76"/>
      <c r="C34" s="77"/>
      <c r="D34" s="77"/>
      <c r="E34" s="7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23">
        <v>16</v>
      </c>
      <c r="AF34" s="23" t="s">
        <v>62</v>
      </c>
      <c r="AG34" s="23">
        <v>0.82</v>
      </c>
    </row>
    <row r="35" spans="1:33" ht="14.25" customHeight="1" x14ac:dyDescent="0.3">
      <c r="A35" s="37"/>
      <c r="B35" s="76"/>
      <c r="C35" s="77"/>
      <c r="D35" s="77"/>
      <c r="E35" s="78"/>
    </row>
    <row r="36" spans="1:33" ht="33" customHeight="1" thickBot="1" x14ac:dyDescent="0.35">
      <c r="A36" s="37"/>
      <c r="B36" s="76"/>
      <c r="C36" s="77"/>
      <c r="D36" s="77"/>
      <c r="E36" s="78"/>
      <c r="AF36" s="41"/>
    </row>
    <row r="37" spans="1:33" ht="14.25" customHeight="1" thickBot="1" x14ac:dyDescent="0.35">
      <c r="A37" s="36"/>
      <c r="B37" s="79"/>
      <c r="C37" s="80"/>
      <c r="D37" s="80"/>
      <c r="E37" s="81"/>
      <c r="AF37" s="42" t="s">
        <v>38</v>
      </c>
      <c r="AG37" s="43" t="s">
        <v>58</v>
      </c>
    </row>
    <row r="38" spans="1:33" ht="14.25" customHeight="1" thickBot="1" x14ac:dyDescent="0.35">
      <c r="AF38" s="23" t="s">
        <v>48</v>
      </c>
      <c r="AG38" s="43" t="s">
        <v>50</v>
      </c>
    </row>
    <row r="39" spans="1:33" ht="14.25" customHeight="1" thickBot="1" x14ac:dyDescent="0.35">
      <c r="AF39" s="42" t="s">
        <v>51</v>
      </c>
      <c r="AG39" s="43" t="s">
        <v>64</v>
      </c>
    </row>
    <row r="40" spans="1:33" ht="14.25" customHeight="1" x14ac:dyDescent="0.3">
      <c r="AF40" s="23" t="s">
        <v>52</v>
      </c>
    </row>
    <row r="41" spans="1:33" ht="14.25" customHeight="1" x14ac:dyDescent="0.3">
      <c r="AF41" s="42" t="s">
        <v>53</v>
      </c>
    </row>
    <row r="42" spans="1:33" ht="14.25" customHeight="1" x14ac:dyDescent="0.3">
      <c r="AF42" s="23" t="s">
        <v>63</v>
      </c>
    </row>
    <row r="43" spans="1:33" ht="14.25" customHeight="1" x14ac:dyDescent="0.3">
      <c r="AF43" s="42" t="s">
        <v>54</v>
      </c>
    </row>
    <row r="44" spans="1:33" ht="14.25" customHeight="1" x14ac:dyDescent="0.3">
      <c r="AF44" s="23" t="s">
        <v>56</v>
      </c>
    </row>
    <row r="45" spans="1:33" ht="14.25" customHeight="1" x14ac:dyDescent="0.3">
      <c r="AF45" s="42" t="s">
        <v>57</v>
      </c>
    </row>
    <row r="46" spans="1:33" ht="14.25" customHeight="1" x14ac:dyDescent="0.3">
      <c r="AF46" s="23" t="s">
        <v>62</v>
      </c>
    </row>
    <row r="47" spans="1:33" ht="14.25" customHeight="1" x14ac:dyDescent="0.3"/>
    <row r="48" spans="1:3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</sheetData>
  <mergeCells count="105">
    <mergeCell ref="L5:M6"/>
    <mergeCell ref="K5:K6"/>
    <mergeCell ref="J5:J6"/>
    <mergeCell ref="G5:G6"/>
    <mergeCell ref="T5:T6"/>
    <mergeCell ref="AA5:AA6"/>
    <mergeCell ref="AB5:AB6"/>
    <mergeCell ref="AC5:AC6"/>
    <mergeCell ref="Z5:Z6"/>
    <mergeCell ref="Y5:Y6"/>
    <mergeCell ref="X5:X6"/>
    <mergeCell ref="W5:W6"/>
    <mergeCell ref="V5:V6"/>
    <mergeCell ref="U5:U6"/>
    <mergeCell ref="N5:N6"/>
    <mergeCell ref="O5:O6"/>
    <mergeCell ref="P5:R6"/>
    <mergeCell ref="S5:S6"/>
    <mergeCell ref="B4:C4"/>
    <mergeCell ref="B31:E37"/>
    <mergeCell ref="A31:A32"/>
    <mergeCell ref="Z21:Z22"/>
    <mergeCell ref="AA21:AA22"/>
    <mergeCell ref="Z13:Z14"/>
    <mergeCell ref="AA13:AA14"/>
    <mergeCell ref="N13:N14"/>
    <mergeCell ref="I13:I14"/>
    <mergeCell ref="J13:J14"/>
    <mergeCell ref="K13:K14"/>
    <mergeCell ref="L13:L14"/>
    <mergeCell ref="M13:M14"/>
    <mergeCell ref="Z7:Z8"/>
    <mergeCell ref="AA7:AA8"/>
    <mergeCell ref="N7:N8"/>
    <mergeCell ref="O7:O8"/>
    <mergeCell ref="I7:I8"/>
    <mergeCell ref="J7:J8"/>
    <mergeCell ref="K7:K8"/>
    <mergeCell ref="L7:L8"/>
    <mergeCell ref="M7:M8"/>
    <mergeCell ref="M21:M22"/>
    <mergeCell ref="N21:N22"/>
    <mergeCell ref="AB21:AB22"/>
    <mergeCell ref="AC21:AC22"/>
    <mergeCell ref="B21:B22"/>
    <mergeCell ref="C21:C22"/>
    <mergeCell ref="D21:D22"/>
    <mergeCell ref="E21:E22"/>
    <mergeCell ref="F21:F22"/>
    <mergeCell ref="G21:G22"/>
    <mergeCell ref="X21:X22"/>
    <mergeCell ref="Y21:Y22"/>
    <mergeCell ref="Q21:Q22"/>
    <mergeCell ref="R21:R22"/>
    <mergeCell ref="S21:S22"/>
    <mergeCell ref="T21:T22"/>
    <mergeCell ref="U21:U22"/>
    <mergeCell ref="V21:V22"/>
    <mergeCell ref="W21:W22"/>
    <mergeCell ref="O21:O22"/>
    <mergeCell ref="P21:P22"/>
    <mergeCell ref="H21:H22"/>
    <mergeCell ref="I21:I22"/>
    <mergeCell ref="J21:J22"/>
    <mergeCell ref="K21:K22"/>
    <mergeCell ref="L21:L22"/>
    <mergeCell ref="AB13:AB14"/>
    <mergeCell ref="AC13:AC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AB7:AB8"/>
    <mergeCell ref="AC7:AC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H7:H8"/>
    <mergeCell ref="B7:B8"/>
    <mergeCell ref="B13:B14"/>
    <mergeCell ref="C13:C14"/>
    <mergeCell ref="D13:D14"/>
    <mergeCell ref="E13:E14"/>
    <mergeCell ref="F13:F14"/>
    <mergeCell ref="G13:G14"/>
    <mergeCell ref="H13:H14"/>
    <mergeCell ref="C7:C8"/>
    <mergeCell ref="D7:D8"/>
    <mergeCell ref="E7:E8"/>
    <mergeCell ref="F7:F8"/>
    <mergeCell ref="G7:G8"/>
  </mergeCells>
  <dataValidations count="3">
    <dataValidation type="list" allowBlank="1" showErrorMessage="1" sqref="C16:C18 C10:C11 C24:C26" xr:uid="{00000000-0002-0000-0000-000000000000}">
      <formula1>#REF!</formula1>
    </dataValidation>
    <dataValidation type="list" allowBlank="1" showErrorMessage="1" sqref="H15:H18 H9:H11 H23:H26" xr:uid="{96E6A868-D99D-4667-867D-89642F12D2A7}">
      <formula1>$AF$37:$AF$46</formula1>
    </dataValidation>
    <dataValidation type="list" allowBlank="1" showErrorMessage="1" sqref="C9 C15 C23" xr:uid="{C3A46C9E-548C-486A-A3C0-10B293971259}">
      <formula1>$AG$37:$AG$39</formula1>
    </dataValidation>
  </dataValidations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BE75A0-018C-445E-91D2-99A47AB21F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2015-06-05T18:19:34Z</dcterms:created>
  <dcterms:modified xsi:type="dcterms:W3CDTF">2026-02-22T16:06:13Z</dcterms:modified>
</cp:coreProperties>
</file>